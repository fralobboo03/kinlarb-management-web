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checkCompatibility="1"/>
  <mc:AlternateContent xmlns:mc="http://schemas.openxmlformats.org/markup-compatibility/2006">
    <mc:Choice Requires="x15">
      <x15ac:absPath xmlns:x15ac="http://schemas.microsoft.com/office/spreadsheetml/2010/11/ac" url="/Users/kittisak/Documents/Frank/02-sideProject/01-kinlarb/kinlarb-management-web/src/app/resource/"/>
    </mc:Choice>
  </mc:AlternateContent>
  <xr:revisionPtr revIDLastSave="0" documentId="13_ncr:1_{68282506-8587-FC45-B2C4-7BC1505BC96E}" xr6:coauthVersionLast="47" xr6:coauthVersionMax="47" xr10:uidLastSave="{00000000-0000-0000-0000-000000000000}"/>
  <bookViews>
    <workbookView xWindow="0" yWindow="660" windowWidth="19200" windowHeight="11960" xr2:uid="{00000000-000D-0000-FFFF-FFFF00000000}"/>
  </bookViews>
  <sheets>
    <sheet name="Coldcut Board" sheetId="6" r:id="rId1"/>
  </sheets>
  <definedNames>
    <definedName name="_xlnm.Print_Area" localSheetId="0">'Coldcut Board'!$A$1:$I$55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6" l="1"/>
  <c r="I28" i="6" s="1"/>
  <c r="H25" i="6" l="1"/>
  <c r="I25" i="6" s="1"/>
  <c r="H26" i="6"/>
  <c r="I26" i="6" s="1"/>
  <c r="H27" i="6"/>
  <c r="I27" i="6" s="1"/>
  <c r="H14" i="6" l="1"/>
  <c r="I14" i="6"/>
  <c r="H24" i="6" l="1"/>
  <c r="I24" i="6" s="1"/>
  <c r="H18" i="6"/>
  <c r="I18" i="6"/>
  <c r="H19" i="6"/>
  <c r="I19" i="6" s="1"/>
  <c r="H20" i="6"/>
  <c r="I20" i="6" s="1"/>
  <c r="H21" i="6"/>
  <c r="I21" i="6" s="1"/>
  <c r="H22" i="6"/>
  <c r="I22" i="6" s="1"/>
  <c r="H23" i="6"/>
  <c r="I23" i="6" s="1"/>
  <c r="H16" i="6"/>
  <c r="I16" i="6"/>
  <c r="H17" i="6"/>
  <c r="I17" i="6" s="1"/>
  <c r="H13" i="6"/>
  <c r="I13" i="6" s="1"/>
  <c r="H15" i="6"/>
  <c r="I15" i="6" s="1"/>
  <c r="I38" i="6" l="1"/>
  <c r="I39" i="6" s="1"/>
  <c r="I29" i="6"/>
  <c r="H29" i="6"/>
  <c r="H30" i="6" l="1"/>
  <c r="H31" i="6" s="1"/>
  <c r="I30" i="6"/>
  <c r="I31" i="6" s="1"/>
  <c r="I36" i="6" l="1"/>
  <c r="I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Rujira Boonchaleaw</author>
    <author>ASUS VivoBook</author>
  </authors>
  <commentList>
    <comment ref="H3" authorId="0" shapeId="0" xr:uid="{00000000-0006-0000-0600-000001000000}">
      <text>
        <r>
          <rPr>
            <sz val="9"/>
            <color indexed="81"/>
            <rFont val="Arial"/>
            <family val="2"/>
          </rPr>
          <t>Use Standard format as show in the right hand side.</t>
        </r>
      </text>
    </comment>
    <comment ref="H5" authorId="0" shapeId="0" xr:uid="{00000000-0006-0000-0600-000002000000}">
      <text>
        <r>
          <rPr>
            <sz val="9"/>
            <color indexed="81"/>
            <rFont val="Arial"/>
            <family val="2"/>
          </rPr>
          <t>Date of Preparation</t>
        </r>
      </text>
    </comment>
    <comment ref="C7" authorId="0" shapeId="0" xr:uid="{00000000-0006-0000-0600-000003000000}">
      <text>
        <r>
          <rPr>
            <sz val="9"/>
            <color rgb="FF000000"/>
            <rFont val="Arial"/>
            <family val="2"/>
          </rPr>
          <t xml:space="preserve">Menu Name
</t>
        </r>
        <r>
          <rPr>
            <sz val="9"/>
            <color rgb="FF000000"/>
            <rFont val="Arial"/>
            <family val="2"/>
          </rPr>
          <t xml:space="preserve">Package Name
</t>
        </r>
        <r>
          <rPr>
            <sz val="9"/>
            <color rgb="FF000000"/>
            <rFont val="Arial"/>
            <family val="2"/>
          </rPr>
          <t>Treatment Name</t>
        </r>
      </text>
    </comment>
    <comment ref="C9" authorId="0" shapeId="0" xr:uid="{00000000-0006-0000-0600-000004000000}">
      <text>
        <r>
          <rPr>
            <sz val="9"/>
            <color indexed="81"/>
            <rFont val="Arial"/>
            <family val="2"/>
          </rPr>
          <t>Same Category in POS system.</t>
        </r>
      </text>
    </comment>
    <comment ref="C11" authorId="0" shapeId="0" xr:uid="{00000000-0006-0000-0600-000005000000}">
      <text>
        <r>
          <rPr>
            <sz val="9"/>
            <color indexed="81"/>
            <rFont val="Arial"/>
            <family val="2"/>
          </rPr>
          <t>Market Product Code</t>
        </r>
      </text>
    </comment>
    <comment ref="D11" authorId="0" shapeId="0" xr:uid="{00000000-0006-0000-0600-000006000000}">
      <text>
        <r>
          <rPr>
            <sz val="9"/>
            <color indexed="81"/>
            <rFont val="Arial"/>
            <family val="2"/>
          </rPr>
          <t xml:space="preserve">Brita Product Name
or the description
</t>
        </r>
      </text>
    </comment>
    <comment ref="G30" authorId="0" shapeId="0" xr:uid="{00000000-0006-0000-0600-000007000000}">
      <text>
        <r>
          <rPr>
            <sz val="9"/>
            <color indexed="81"/>
            <rFont val="Arial"/>
            <family val="2"/>
          </rPr>
          <t>Questionable Ingredient Factor for small amounts of ingredients to cover the items, usually 1% - 5%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I32" authorId="0" shapeId="0" xr:uid="{00000000-0006-0000-0600-000008000000}">
      <text>
        <r>
          <rPr>
            <sz val="9"/>
            <color indexed="81"/>
            <rFont val="Arial"/>
            <family val="2"/>
          </rPr>
          <t xml:space="preserve">Standard Plate/ Menu Cost
</t>
        </r>
        <r>
          <rPr>
            <b/>
            <sz val="9"/>
            <color indexed="81"/>
            <rFont val="Arial"/>
            <family val="2"/>
          </rPr>
          <t>Normally not higher than below percent.</t>
        </r>
        <r>
          <rPr>
            <sz val="9"/>
            <color indexed="81"/>
            <rFont val="Arial"/>
            <family val="2"/>
          </rPr>
          <t xml:space="preserve">
35% - Food
25% - Beverage
</t>
        </r>
      </text>
    </comment>
    <comment ref="I35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ราคาขายที่ต้องการ</t>
        </r>
      </text>
    </comment>
    <comment ref="H38" authorId="0" shapeId="0" xr:uid="{00000000-0006-0000-0600-00000A000000}">
      <text>
        <r>
          <rPr>
            <sz val="9"/>
            <color indexed="81"/>
            <rFont val="Arial"/>
            <family val="2"/>
          </rPr>
          <t>Usually 10% - 20%</t>
        </r>
      </text>
    </comment>
  </commentList>
</comments>
</file>

<file path=xl/sharedStrings.xml><?xml version="1.0" encoding="utf-8"?>
<sst xmlns="http://schemas.openxmlformats.org/spreadsheetml/2006/main" count="83" uniqueCount="51">
  <si>
    <t>STANDARD RECIPE COST CARD</t>
  </si>
  <si>
    <t>RECIPE NO.</t>
  </si>
  <si>
    <t xml:space="preserve">                                                 </t>
  </si>
  <si>
    <t>DATE :</t>
  </si>
  <si>
    <t>RECIPE NAME   :</t>
  </si>
  <si>
    <t>NO. of PORTION:</t>
  </si>
  <si>
    <t>CATEGORY       :</t>
  </si>
  <si>
    <t>PREPARED BY:</t>
  </si>
  <si>
    <t>อาร์ม</t>
  </si>
  <si>
    <t>PUCHASED</t>
  </si>
  <si>
    <t>ITEM</t>
  </si>
  <si>
    <t>INGREDIENT</t>
  </si>
  <si>
    <t>EY</t>
  </si>
  <si>
    <t>RECIPE</t>
  </si>
  <si>
    <t>INDIVIDUAL</t>
  </si>
  <si>
    <t>PRICE</t>
  </si>
  <si>
    <t>UNIT</t>
  </si>
  <si>
    <t>CODE</t>
  </si>
  <si>
    <t>%</t>
  </si>
  <si>
    <t>QTY</t>
  </si>
  <si>
    <t>COST</t>
  </si>
  <si>
    <t>กก</t>
  </si>
  <si>
    <t>Total Ingredients Cost</t>
  </si>
  <si>
    <t>Q Factor %:</t>
  </si>
  <si>
    <t>Recipe Cost:</t>
  </si>
  <si>
    <t>Desired Cost %:</t>
  </si>
  <si>
    <t>(Picture Here)</t>
  </si>
  <si>
    <t xml:space="preserve">Preliminary Selling Price: </t>
  </si>
  <si>
    <t>Actual Menu Price:</t>
  </si>
  <si>
    <t>Actual Cost %:</t>
  </si>
  <si>
    <t>Discunt % :</t>
  </si>
  <si>
    <t>Discount results Cost%:</t>
  </si>
  <si>
    <t xml:space="preserve">Method of Preparation:  </t>
  </si>
  <si>
    <t>เชดด้าชีส</t>
  </si>
  <si>
    <t>Cheese Board</t>
  </si>
  <si>
    <t>สตอเบอรี่สด</t>
  </si>
  <si>
    <t>เคบกู้สเบอรี่สด</t>
  </si>
  <si>
    <t>บลูเบอรี่</t>
  </si>
  <si>
    <t>องุ่น</t>
  </si>
  <si>
    <t>น้ำผึ้ง</t>
  </si>
  <si>
    <t>บลูชีส</t>
  </si>
  <si>
    <t>กรานาพาดาโน่</t>
  </si>
  <si>
    <t>สโมคชีส</t>
  </si>
  <si>
    <t>มะกอกดำ,เขียว</t>
  </si>
  <si>
    <t>แอปเปิ้ล</t>
  </si>
  <si>
    <t>ลูก</t>
  </si>
  <si>
    <t>บรีชีส</t>
  </si>
  <si>
    <t>Salami</t>
  </si>
  <si>
    <t>Parma Ham</t>
  </si>
  <si>
    <t>Coppa</t>
  </si>
  <si>
    <t>C00k 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</si>
</sst>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dd\ mmm\ yy"/>
    <numFmt numFmtId="167" formatCode="General\ 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1"/>
      <color indexed="8"/>
      <name val="Tahoma"/>
      <family val="2"/>
    </font>
    <font>
      <sz val="10"/>
      <color indexed="55"/>
      <name val="Arial"/>
      <family val="2"/>
    </font>
    <font>
      <i/>
      <sz val="10"/>
      <name val="Arial"/>
      <family val="2"/>
    </font>
    <font>
      <sz val="9"/>
      <color indexed="81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/>
      <top style="medium">
        <color indexed="64"/>
      </top>
      <bottom/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3" applyFont="1" applyAlignment="1">
      <alignment horizontal="center"/>
    </xf>
    <xf numFmtId="0" fontId="1" fillId="0" borderId="0" xfId="3"/>
    <xf numFmtId="164" fontId="2" fillId="0" borderId="0" xfId="3" applyNumberFormat="1" applyFont="1" applyAlignment="1">
      <alignment horizontal="center"/>
    </xf>
    <xf numFmtId="164" fontId="1" fillId="0" borderId="0" xfId="3" applyNumberFormat="1" applyAlignment="1">
      <alignment horizontal="center"/>
    </xf>
    <xf numFmtId="0" fontId="2" fillId="0" borderId="0" xfId="3" applyFont="1" applyAlignment="1">
      <alignment horizontal="right"/>
    </xf>
    <xf numFmtId="0" fontId="1" fillId="0" borderId="0" xfId="3" quotePrefix="1"/>
    <xf numFmtId="0" fontId="2" fillId="0" borderId="0" xfId="3" applyFont="1" applyAlignment="1">
      <alignment horizontal="left"/>
    </xf>
    <xf numFmtId="0" fontId="2" fillId="2" borderId="4" xfId="3" applyFont="1" applyFill="1" applyBorder="1" applyAlignment="1">
      <alignment horizontal="center"/>
    </xf>
    <xf numFmtId="0" fontId="2" fillId="0" borderId="0" xfId="3" applyFont="1"/>
    <xf numFmtId="0" fontId="1" fillId="2" borderId="4" xfId="3" applyFill="1" applyBorder="1"/>
    <xf numFmtId="0" fontId="3" fillId="3" borderId="8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0" fontId="3" fillId="3" borderId="1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164" fontId="3" fillId="3" borderId="13" xfId="3" applyNumberFormat="1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43" fontId="1" fillId="2" borderId="15" xfId="1" applyFont="1" applyFill="1" applyBorder="1"/>
    <xf numFmtId="0" fontId="1" fillId="2" borderId="15" xfId="3" applyFill="1" applyBorder="1" applyAlignment="1">
      <alignment horizontal="center"/>
    </xf>
    <xf numFmtId="0" fontId="1" fillId="2" borderId="15" xfId="3" applyFill="1" applyBorder="1"/>
    <xf numFmtId="164" fontId="1" fillId="2" borderId="15" xfId="1" applyNumberFormat="1" applyFont="1" applyFill="1" applyBorder="1" applyAlignment="1">
      <alignment horizontal="center"/>
    </xf>
    <xf numFmtId="43" fontId="1" fillId="0" borderId="16" xfId="1" applyFont="1" applyBorder="1"/>
    <xf numFmtId="43" fontId="1" fillId="0" borderId="15" xfId="1" applyFont="1" applyBorder="1"/>
    <xf numFmtId="0" fontId="2" fillId="2" borderId="17" xfId="3" applyFont="1" applyFill="1" applyBorder="1" applyAlignment="1">
      <alignment horizontal="center"/>
    </xf>
    <xf numFmtId="0" fontId="1" fillId="2" borderId="17" xfId="3" applyFill="1" applyBorder="1"/>
    <xf numFmtId="0" fontId="2" fillId="0" borderId="18" xfId="3" applyFont="1" applyBorder="1"/>
    <xf numFmtId="0" fontId="1" fillId="0" borderId="19" xfId="3" applyBorder="1"/>
    <xf numFmtId="167" fontId="1" fillId="0" borderId="0" xfId="3" applyNumberFormat="1" applyAlignment="1">
      <alignment horizontal="right"/>
    </xf>
    <xf numFmtId="43" fontId="1" fillId="0" borderId="20" xfId="3" applyNumberFormat="1" applyBorder="1"/>
    <xf numFmtId="43" fontId="1" fillId="0" borderId="20" xfId="4" applyFont="1" applyBorder="1"/>
    <xf numFmtId="0" fontId="1" fillId="2" borderId="21" xfId="3" applyFill="1" applyBorder="1" applyAlignment="1">
      <alignment horizontal="center"/>
    </xf>
    <xf numFmtId="43" fontId="1" fillId="0" borderId="22" xfId="3" applyNumberFormat="1" applyBorder="1"/>
    <xf numFmtId="43" fontId="1" fillId="0" borderId="22" xfId="4" applyFont="1" applyBorder="1"/>
    <xf numFmtId="43" fontId="1" fillId="0" borderId="23" xfId="3" applyNumberFormat="1" applyBorder="1"/>
    <xf numFmtId="43" fontId="1" fillId="0" borderId="23" xfId="4" applyFont="1" applyBorder="1"/>
    <xf numFmtId="10" fontId="1" fillId="2" borderId="24" xfId="2" applyNumberFormat="1" applyFont="1" applyFill="1" applyBorder="1"/>
    <xf numFmtId="0" fontId="1" fillId="0" borderId="18" xfId="3" applyBorder="1"/>
    <xf numFmtId="0" fontId="5" fillId="0" borderId="0" xfId="3" applyFont="1"/>
    <xf numFmtId="0" fontId="1" fillId="0" borderId="0" xfId="3" applyAlignment="1">
      <alignment horizontal="right"/>
    </xf>
    <xf numFmtId="43" fontId="1" fillId="0" borderId="25" xfId="4" applyFont="1" applyBorder="1"/>
    <xf numFmtId="43" fontId="1" fillId="0" borderId="0" xfId="4" applyFont="1" applyBorder="1"/>
    <xf numFmtId="0" fontId="1" fillId="0" borderId="25" xfId="0" applyFont="1" applyBorder="1" applyAlignment="1">
      <alignment horizontal="right"/>
    </xf>
    <xf numFmtId="43" fontId="1" fillId="0" borderId="0" xfId="4" applyFont="1"/>
    <xf numFmtId="10" fontId="1" fillId="0" borderId="26" xfId="2" applyNumberFormat="1" applyFont="1" applyBorder="1"/>
    <xf numFmtId="43" fontId="1" fillId="0" borderId="0" xfId="3" applyNumberFormat="1"/>
    <xf numFmtId="0" fontId="2" fillId="0" borderId="27" xfId="3" applyFont="1" applyBorder="1"/>
    <xf numFmtId="0" fontId="2" fillId="0" borderId="28" xfId="3" applyFont="1" applyBorder="1"/>
    <xf numFmtId="0" fontId="1" fillId="0" borderId="29" xfId="3" applyBorder="1"/>
    <xf numFmtId="10" fontId="1" fillId="0" borderId="25" xfId="2" applyNumberFormat="1" applyFont="1" applyBorder="1"/>
    <xf numFmtId="0" fontId="1" fillId="0" borderId="4" xfId="3" applyBorder="1"/>
    <xf numFmtId="0" fontId="6" fillId="0" borderId="0" xfId="3" applyFont="1"/>
    <xf numFmtId="0" fontId="1" fillId="0" borderId="0" xfId="3" applyAlignment="1">
      <alignment horizontal="center"/>
    </xf>
    <xf numFmtId="0" fontId="2" fillId="2" borderId="30" xfId="3" applyFont="1" applyFill="1" applyBorder="1" applyAlignment="1">
      <alignment horizontal="center"/>
    </xf>
    <xf numFmtId="0" fontId="1" fillId="2" borderId="30" xfId="3" applyFill="1" applyBorder="1"/>
    <xf numFmtId="0" fontId="1" fillId="0" borderId="0" xfId="3" applyAlignment="1">
      <alignment horizontal="center"/>
    </xf>
    <xf numFmtId="0" fontId="2" fillId="0" borderId="1" xfId="3" applyFont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165" fontId="1" fillId="2" borderId="4" xfId="3" applyNumberFormat="1" applyFill="1" applyBorder="1" applyAlignment="1">
      <alignment horizontal="center"/>
    </xf>
    <xf numFmtId="0" fontId="2" fillId="2" borderId="4" xfId="3" applyFont="1" applyFill="1" applyBorder="1" applyAlignment="1">
      <alignment horizontal="left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0" fontId="3" fillId="3" borderId="10" xfId="3" applyFont="1" applyFill="1" applyBorder="1" applyAlignment="1">
      <alignment horizontal="center" vertical="center"/>
    </xf>
  </cellXfs>
  <cellStyles count="5">
    <cellStyle name="Comma" xfId="1" builtinId="3"/>
    <cellStyle name="Comma 3" xfId="4" xr:uid="{00000000-0005-0000-0000-000001000000}"/>
    <cellStyle name="Normal" xfId="0" builtinId="0"/>
    <cellStyle name="Normal 4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61"/>
  <sheetViews>
    <sheetView tabSelected="1" zoomScale="80" zoomScaleNormal="80" workbookViewId="0">
      <selection activeCell="K16" sqref="K16"/>
    </sheetView>
  </sheetViews>
  <sheetFormatPr baseColWidth="10" defaultColWidth="4.1640625" defaultRowHeight="13" x14ac:dyDescent="0.15"/>
  <cols>
    <col min="1" max="1" width="10.5" style="2" customWidth="1"/>
    <col min="2" max="2" width="6" style="2" customWidth="1"/>
    <col min="3" max="3" width="8.6640625" style="2" customWidth="1"/>
    <col min="4" max="4" width="27.5" style="2" customWidth="1"/>
    <col min="5" max="5" width="6.83203125" style="2" customWidth="1"/>
    <col min="6" max="6" width="7.83203125" style="4" customWidth="1"/>
    <col min="7" max="7" width="6" style="2" customWidth="1"/>
    <col min="8" max="9" width="11.33203125" style="2" customWidth="1"/>
    <col min="10" max="10" width="10.1640625" style="2" bestFit="1" customWidth="1"/>
    <col min="11" max="12" width="11.5" style="2" customWidth="1"/>
    <col min="13" max="255" width="9" style="2" customWidth="1"/>
    <col min="256" max="16384" width="4.1640625" style="2"/>
  </cols>
  <sheetData>
    <row r="1" spans="1:11" ht="15" customHeight="1" x14ac:dyDescent="0.15">
      <c r="A1" s="1"/>
      <c r="B1" s="1"/>
      <c r="C1" s="1"/>
      <c r="D1" s="1"/>
      <c r="E1" s="1"/>
      <c r="F1" s="55" t="s">
        <v>0</v>
      </c>
      <c r="G1" s="56"/>
      <c r="H1" s="56"/>
      <c r="I1" s="57"/>
    </row>
    <row r="2" spans="1:11" ht="6" customHeight="1" x14ac:dyDescent="0.15">
      <c r="A2" s="1"/>
      <c r="B2" s="1"/>
      <c r="C2" s="1"/>
      <c r="D2" s="1"/>
      <c r="E2" s="1"/>
      <c r="F2" s="3"/>
      <c r="G2" s="1"/>
      <c r="H2" s="1"/>
      <c r="I2" s="1"/>
    </row>
    <row r="3" spans="1:11" ht="15" customHeight="1" x14ac:dyDescent="0.15">
      <c r="A3" s="1"/>
      <c r="B3" s="1"/>
      <c r="C3" s="1"/>
      <c r="D3" s="1"/>
      <c r="E3" s="1"/>
      <c r="G3" s="5" t="s">
        <v>1</v>
      </c>
      <c r="H3" s="58" t="s">
        <v>2</v>
      </c>
      <c r="I3" s="58"/>
      <c r="K3" s="6"/>
    </row>
    <row r="4" spans="1:11" ht="5.25" customHeight="1" x14ac:dyDescent="0.15">
      <c r="A4" s="1"/>
      <c r="B4" s="1"/>
      <c r="C4" s="1"/>
      <c r="D4" s="1"/>
      <c r="E4" s="1"/>
      <c r="G4" s="1"/>
      <c r="I4" s="1"/>
      <c r="K4" s="6"/>
    </row>
    <row r="5" spans="1:11" ht="15" customHeight="1" x14ac:dyDescent="0.15">
      <c r="G5" s="5" t="s">
        <v>3</v>
      </c>
      <c r="H5" s="59">
        <v>45311</v>
      </c>
      <c r="I5" s="59"/>
      <c r="K5" s="6"/>
    </row>
    <row r="6" spans="1:11" ht="6.75" customHeight="1" x14ac:dyDescent="0.15"/>
    <row r="7" spans="1:11" ht="15" customHeight="1" x14ac:dyDescent="0.15">
      <c r="A7" s="7" t="s">
        <v>4</v>
      </c>
      <c r="B7" s="7"/>
      <c r="C7" s="60" t="s">
        <v>34</v>
      </c>
      <c r="D7" s="60"/>
      <c r="E7" s="60"/>
      <c r="F7" s="60"/>
      <c r="H7" s="5" t="s">
        <v>5</v>
      </c>
      <c r="I7" s="8">
        <v>1</v>
      </c>
      <c r="K7" s="6"/>
    </row>
    <row r="8" spans="1:11" ht="6.75" customHeight="1" x14ac:dyDescent="0.15">
      <c r="A8" s="7"/>
      <c r="B8" s="7"/>
      <c r="C8" s="7"/>
      <c r="D8" s="9"/>
      <c r="E8" s="9"/>
      <c r="I8" s="9"/>
    </row>
    <row r="9" spans="1:11" ht="15" customHeight="1" x14ac:dyDescent="0.15">
      <c r="A9" s="7" t="s">
        <v>6</v>
      </c>
      <c r="B9" s="7"/>
      <c r="C9" s="60"/>
      <c r="D9" s="60"/>
      <c r="E9" s="60"/>
      <c r="F9" s="60"/>
      <c r="H9" s="5" t="s">
        <v>7</v>
      </c>
      <c r="I9" s="10" t="s">
        <v>8</v>
      </c>
    </row>
    <row r="10" spans="1:11" ht="14" thickBot="1" x14ac:dyDescent="0.2">
      <c r="A10" s="9"/>
      <c r="B10" s="9"/>
      <c r="C10" s="9"/>
    </row>
    <row r="11" spans="1:11" ht="14.25" customHeight="1" x14ac:dyDescent="0.15">
      <c r="A11" s="61" t="s">
        <v>9</v>
      </c>
      <c r="B11" s="62"/>
      <c r="C11" s="63" t="s">
        <v>10</v>
      </c>
      <c r="D11" s="63" t="s">
        <v>11</v>
      </c>
      <c r="E11" s="11" t="s">
        <v>12</v>
      </c>
      <c r="F11" s="65" t="s">
        <v>13</v>
      </c>
      <c r="G11" s="66"/>
      <c r="H11" s="62"/>
      <c r="I11" s="12" t="s">
        <v>14</v>
      </c>
    </row>
    <row r="12" spans="1:11" ht="14.25" customHeight="1" x14ac:dyDescent="0.15">
      <c r="A12" s="13" t="s">
        <v>15</v>
      </c>
      <c r="B12" s="14" t="s">
        <v>16</v>
      </c>
      <c r="C12" s="64" t="s">
        <v>17</v>
      </c>
      <c r="D12" s="64"/>
      <c r="E12" s="14" t="s">
        <v>18</v>
      </c>
      <c r="F12" s="15" t="s">
        <v>19</v>
      </c>
      <c r="G12" s="14" t="s">
        <v>16</v>
      </c>
      <c r="H12" s="14" t="s">
        <v>20</v>
      </c>
      <c r="I12" s="16" t="s">
        <v>20</v>
      </c>
    </row>
    <row r="13" spans="1:11" ht="16.5" customHeight="1" x14ac:dyDescent="0.15">
      <c r="A13" s="17">
        <v>542</v>
      </c>
      <c r="B13" s="18" t="s">
        <v>21</v>
      </c>
      <c r="C13" s="18"/>
      <c r="D13" s="19" t="s">
        <v>33</v>
      </c>
      <c r="E13" s="18">
        <v>100</v>
      </c>
      <c r="F13" s="20">
        <v>0.04</v>
      </c>
      <c r="G13" s="18" t="s">
        <v>21</v>
      </c>
      <c r="H13" s="21">
        <f>A13/E13*100*F13</f>
        <v>21.68</v>
      </c>
      <c r="I13" s="22">
        <f>H13</f>
        <v>21.68</v>
      </c>
    </row>
    <row r="14" spans="1:11" ht="16.5" customHeight="1" x14ac:dyDescent="0.15">
      <c r="A14" s="17">
        <v>1261</v>
      </c>
      <c r="B14" s="18" t="s">
        <v>21</v>
      </c>
      <c r="C14" s="18"/>
      <c r="D14" s="19" t="s">
        <v>46</v>
      </c>
      <c r="E14" s="18">
        <v>100</v>
      </c>
      <c r="F14" s="20">
        <v>0.03</v>
      </c>
      <c r="G14" s="18" t="s">
        <v>21</v>
      </c>
      <c r="H14" s="21">
        <f>A14/E14*100*F14</f>
        <v>37.83</v>
      </c>
      <c r="I14" s="22">
        <f>H14</f>
        <v>37.83</v>
      </c>
    </row>
    <row r="15" spans="1:11" ht="16.5" customHeight="1" x14ac:dyDescent="0.15">
      <c r="A15" s="17">
        <v>915</v>
      </c>
      <c r="B15" s="18" t="s">
        <v>21</v>
      </c>
      <c r="C15" s="18"/>
      <c r="D15" s="19" t="s">
        <v>40</v>
      </c>
      <c r="E15" s="18">
        <v>100</v>
      </c>
      <c r="F15" s="20">
        <v>0.04</v>
      </c>
      <c r="G15" s="18" t="s">
        <v>21</v>
      </c>
      <c r="H15" s="21">
        <f>A15/E15*100*F15</f>
        <v>36.6</v>
      </c>
      <c r="I15" s="22">
        <f>H15</f>
        <v>36.6</v>
      </c>
    </row>
    <row r="16" spans="1:11" ht="16.5" customHeight="1" x14ac:dyDescent="0.15">
      <c r="A16" s="17">
        <v>1093</v>
      </c>
      <c r="B16" s="18" t="s">
        <v>21</v>
      </c>
      <c r="C16" s="18"/>
      <c r="D16" s="19" t="s">
        <v>41</v>
      </c>
      <c r="E16" s="18">
        <v>100</v>
      </c>
      <c r="F16" s="20">
        <v>0.04</v>
      </c>
      <c r="G16" s="18" t="s">
        <v>21</v>
      </c>
      <c r="H16" s="21">
        <f t="shared" ref="H16:H17" si="0">A16/E16*100*F16</f>
        <v>43.72</v>
      </c>
      <c r="I16" s="22">
        <f t="shared" ref="I16:I24" si="1">H16</f>
        <v>43.72</v>
      </c>
    </row>
    <row r="17" spans="1:9" ht="16.5" customHeight="1" x14ac:dyDescent="0.15">
      <c r="A17" s="17">
        <v>873</v>
      </c>
      <c r="B17" s="18" t="s">
        <v>21</v>
      </c>
      <c r="C17" s="18"/>
      <c r="D17" s="19" t="s">
        <v>42</v>
      </c>
      <c r="E17" s="18">
        <v>100</v>
      </c>
      <c r="F17" s="20">
        <v>0.04</v>
      </c>
      <c r="G17" s="18" t="s">
        <v>21</v>
      </c>
      <c r="H17" s="21">
        <f t="shared" si="0"/>
        <v>34.92</v>
      </c>
      <c r="I17" s="22">
        <f t="shared" si="1"/>
        <v>34.92</v>
      </c>
    </row>
    <row r="18" spans="1:9" ht="16.5" customHeight="1" x14ac:dyDescent="0.15">
      <c r="A18" s="17">
        <v>20</v>
      </c>
      <c r="B18" s="18" t="s">
        <v>45</v>
      </c>
      <c r="C18" s="18"/>
      <c r="D18" s="19" t="s">
        <v>44</v>
      </c>
      <c r="E18" s="18">
        <v>100</v>
      </c>
      <c r="F18" s="20">
        <v>0.5</v>
      </c>
      <c r="G18" s="18" t="s">
        <v>21</v>
      </c>
      <c r="H18" s="21">
        <f t="shared" ref="H18" si="2">A18/E18*100*F18</f>
        <v>10</v>
      </c>
      <c r="I18" s="22">
        <f t="shared" si="1"/>
        <v>10</v>
      </c>
    </row>
    <row r="19" spans="1:9" ht="16.5" customHeight="1" x14ac:dyDescent="0.15">
      <c r="A19" s="17">
        <v>200</v>
      </c>
      <c r="B19" s="18" t="s">
        <v>21</v>
      </c>
      <c r="C19" s="18"/>
      <c r="D19" s="19" t="s">
        <v>35</v>
      </c>
      <c r="E19" s="18">
        <v>100</v>
      </c>
      <c r="F19" s="20">
        <v>0.03</v>
      </c>
      <c r="G19" s="18" t="s">
        <v>21</v>
      </c>
      <c r="H19" s="21">
        <f t="shared" ref="H19:H23" si="3">A19/E19*100*F19</f>
        <v>6</v>
      </c>
      <c r="I19" s="22">
        <f t="shared" si="1"/>
        <v>6</v>
      </c>
    </row>
    <row r="20" spans="1:9" ht="16.5" customHeight="1" x14ac:dyDescent="0.15">
      <c r="A20" s="17">
        <v>100</v>
      </c>
      <c r="B20" s="18" t="s">
        <v>21</v>
      </c>
      <c r="C20" s="18"/>
      <c r="D20" s="19" t="s">
        <v>36</v>
      </c>
      <c r="E20" s="18">
        <v>100</v>
      </c>
      <c r="F20" s="20">
        <v>0.06</v>
      </c>
      <c r="G20" s="18" t="s">
        <v>21</v>
      </c>
      <c r="H20" s="21">
        <f t="shared" si="3"/>
        <v>6</v>
      </c>
      <c r="I20" s="22">
        <f t="shared" si="1"/>
        <v>6</v>
      </c>
    </row>
    <row r="21" spans="1:9" ht="16.5" customHeight="1" x14ac:dyDescent="0.15">
      <c r="A21" s="17">
        <v>200</v>
      </c>
      <c r="B21" s="18" t="s">
        <v>21</v>
      </c>
      <c r="C21" s="18"/>
      <c r="D21" s="19" t="s">
        <v>37</v>
      </c>
      <c r="E21" s="18">
        <v>100</v>
      </c>
      <c r="F21" s="20">
        <v>0.03</v>
      </c>
      <c r="G21" s="18" t="s">
        <v>21</v>
      </c>
      <c r="H21" s="21">
        <f t="shared" si="3"/>
        <v>6</v>
      </c>
      <c r="I21" s="22">
        <f t="shared" si="1"/>
        <v>6</v>
      </c>
    </row>
    <row r="22" spans="1:9" ht="16.5" customHeight="1" x14ac:dyDescent="0.15">
      <c r="A22" s="17">
        <v>100</v>
      </c>
      <c r="B22" s="18" t="s">
        <v>21</v>
      </c>
      <c r="C22" s="18"/>
      <c r="D22" s="19" t="s">
        <v>38</v>
      </c>
      <c r="E22" s="18">
        <v>100</v>
      </c>
      <c r="F22" s="20">
        <v>0.08</v>
      </c>
      <c r="G22" s="18" t="s">
        <v>21</v>
      </c>
      <c r="H22" s="21">
        <f t="shared" si="3"/>
        <v>8</v>
      </c>
      <c r="I22" s="22">
        <f t="shared" si="1"/>
        <v>8</v>
      </c>
    </row>
    <row r="23" spans="1:9" ht="16.5" customHeight="1" x14ac:dyDescent="0.15">
      <c r="A23" s="17">
        <v>160</v>
      </c>
      <c r="B23" s="18" t="s">
        <v>21</v>
      </c>
      <c r="C23" s="18"/>
      <c r="D23" s="19" t="s">
        <v>39</v>
      </c>
      <c r="E23" s="18">
        <v>100</v>
      </c>
      <c r="F23" s="20">
        <v>0.05</v>
      </c>
      <c r="G23" s="18" t="s">
        <v>21</v>
      </c>
      <c r="H23" s="21">
        <f t="shared" si="3"/>
        <v>8</v>
      </c>
      <c r="I23" s="22">
        <f t="shared" si="1"/>
        <v>8</v>
      </c>
    </row>
    <row r="24" spans="1:9" ht="16.5" customHeight="1" x14ac:dyDescent="0.15">
      <c r="A24" s="17">
        <v>120</v>
      </c>
      <c r="B24" s="18" t="s">
        <v>21</v>
      </c>
      <c r="C24" s="23"/>
      <c r="D24" s="24" t="s">
        <v>43</v>
      </c>
      <c r="E24" s="18">
        <v>100</v>
      </c>
      <c r="F24" s="20">
        <v>0.05</v>
      </c>
      <c r="G24" s="18" t="s">
        <v>21</v>
      </c>
      <c r="H24" s="21">
        <f t="shared" ref="H24" si="4">A24/E24*100*F24</f>
        <v>6</v>
      </c>
      <c r="I24" s="22">
        <f t="shared" si="1"/>
        <v>6</v>
      </c>
    </row>
    <row r="25" spans="1:9" ht="16.5" customHeight="1" x14ac:dyDescent="0.15">
      <c r="A25" s="17">
        <v>1500</v>
      </c>
      <c r="B25" s="18" t="s">
        <v>21</v>
      </c>
      <c r="C25" s="52"/>
      <c r="D25" s="53" t="s">
        <v>47</v>
      </c>
      <c r="E25" s="18">
        <v>100</v>
      </c>
      <c r="F25" s="20">
        <v>0.03</v>
      </c>
      <c r="G25" s="18" t="s">
        <v>21</v>
      </c>
      <c r="H25" s="21">
        <f t="shared" ref="H25:H27" si="5">A25/E25*100*F25</f>
        <v>45</v>
      </c>
      <c r="I25" s="22">
        <f t="shared" ref="I25:I27" si="6">H25</f>
        <v>45</v>
      </c>
    </row>
    <row r="26" spans="1:9" ht="16.5" customHeight="1" x14ac:dyDescent="0.15">
      <c r="A26" s="17">
        <v>1500</v>
      </c>
      <c r="B26" s="18" t="s">
        <v>21</v>
      </c>
      <c r="C26" s="52"/>
      <c r="D26" s="53" t="s">
        <v>48</v>
      </c>
      <c r="E26" s="18">
        <v>100</v>
      </c>
      <c r="F26" s="20">
        <v>0.03</v>
      </c>
      <c r="G26" s="18" t="s">
        <v>21</v>
      </c>
      <c r="H26" s="21">
        <f t="shared" si="5"/>
        <v>45</v>
      </c>
      <c r="I26" s="22">
        <f t="shared" si="6"/>
        <v>45</v>
      </c>
    </row>
    <row r="27" spans="1:9" ht="16.5" customHeight="1" x14ac:dyDescent="0.15">
      <c r="A27" s="17">
        <v>1500</v>
      </c>
      <c r="B27" s="18" t="s">
        <v>21</v>
      </c>
      <c r="C27" s="52"/>
      <c r="D27" s="53" t="s">
        <v>49</v>
      </c>
      <c r="E27" s="18">
        <v>100</v>
      </c>
      <c r="F27" s="20">
        <v>0.03</v>
      </c>
      <c r="G27" s="18" t="s">
        <v>21</v>
      </c>
      <c r="H27" s="21">
        <f t="shared" si="5"/>
        <v>45</v>
      </c>
      <c r="I27" s="22">
        <f t="shared" si="6"/>
        <v>45</v>
      </c>
    </row>
    <row r="28" spans="1:9" ht="16.5" customHeight="1" thickBot="1" x14ac:dyDescent="0.2">
      <c r="A28" s="17">
        <v>600</v>
      </c>
      <c r="B28" s="18" t="s">
        <v>21</v>
      </c>
      <c r="C28" s="52"/>
      <c r="D28" s="53" t="s">
        <v>50</v>
      </c>
      <c r="E28" s="18">
        <v>100</v>
      </c>
      <c r="F28" s="20">
        <v>0.03</v>
      </c>
      <c r="G28" s="18" t="s">
        <v>21</v>
      </c>
      <c r="H28" s="21">
        <f t="shared" ref="H28" si="7">A28/E28*100*F28</f>
        <v>18</v>
      </c>
      <c r="I28" s="22">
        <f t="shared" ref="I28" si="8">H28</f>
        <v>18</v>
      </c>
    </row>
    <row r="29" spans="1:9" ht="16.5" customHeight="1" x14ac:dyDescent="0.15">
      <c r="A29" s="25"/>
      <c r="B29" s="9"/>
      <c r="C29" s="9"/>
      <c r="D29" s="26"/>
      <c r="G29" s="27" t="s">
        <v>22</v>
      </c>
      <c r="H29" s="28">
        <f>SUM(H13:H28)</f>
        <v>377.75</v>
      </c>
      <c r="I29" s="29">
        <f>SUM(I13:I28)</f>
        <v>377.75</v>
      </c>
    </row>
    <row r="30" spans="1:9" ht="16.5" customHeight="1" x14ac:dyDescent="0.15">
      <c r="A30" s="25"/>
      <c r="B30" s="9"/>
      <c r="C30" s="9"/>
      <c r="D30" s="26"/>
      <c r="F30" s="4" t="s">
        <v>23</v>
      </c>
      <c r="G30" s="30">
        <v>5</v>
      </c>
      <c r="H30" s="31">
        <f>H29*G30%</f>
        <v>18.887499999999999</v>
      </c>
      <c r="I30" s="32">
        <f>I29*G30%</f>
        <v>18.887499999999999</v>
      </c>
    </row>
    <row r="31" spans="1:9" ht="16.5" customHeight="1" thickBot="1" x14ac:dyDescent="0.2">
      <c r="A31" s="25"/>
      <c r="B31" s="9"/>
      <c r="C31" s="9"/>
      <c r="D31" s="26"/>
      <c r="G31" s="27" t="s">
        <v>24</v>
      </c>
      <c r="H31" s="33">
        <f>SUM(H29:H30)</f>
        <v>396.63749999999999</v>
      </c>
      <c r="I31" s="34">
        <f>SUM(I29:I30)</f>
        <v>396.63749999999999</v>
      </c>
    </row>
    <row r="32" spans="1:9" ht="16.5" customHeight="1" x14ac:dyDescent="0.15">
      <c r="A32" s="25"/>
      <c r="B32" s="9"/>
      <c r="C32" s="9"/>
      <c r="D32" s="26"/>
      <c r="H32" s="27" t="s">
        <v>25</v>
      </c>
      <c r="I32" s="35">
        <v>0.35</v>
      </c>
    </row>
    <row r="33" spans="1:10" ht="16.5" customHeight="1" x14ac:dyDescent="0.15">
      <c r="A33" s="36"/>
      <c r="C33" s="37" t="s">
        <v>26</v>
      </c>
      <c r="D33" s="26"/>
      <c r="H33" s="38" t="s">
        <v>27</v>
      </c>
      <c r="I33" s="39">
        <f>IF(I32=0,0,ROUND(I31/I32,2))</f>
        <v>1133.25</v>
      </c>
    </row>
    <row r="34" spans="1:10" ht="16.5" customHeight="1" x14ac:dyDescent="0.15">
      <c r="A34" s="36"/>
      <c r="D34" s="26"/>
      <c r="H34" s="38"/>
      <c r="I34" s="40"/>
    </row>
    <row r="35" spans="1:10" ht="16.5" customHeight="1" thickBot="1" x14ac:dyDescent="0.2">
      <c r="A35" s="25"/>
      <c r="B35" s="9"/>
      <c r="C35" s="9"/>
      <c r="D35" s="26"/>
      <c r="H35" s="38" t="s">
        <v>28</v>
      </c>
      <c r="I35" s="41">
        <v>650</v>
      </c>
      <c r="J35" s="42"/>
    </row>
    <row r="36" spans="1:10" ht="16.5" customHeight="1" thickBot="1" x14ac:dyDescent="0.2">
      <c r="A36" s="25"/>
      <c r="B36" s="9"/>
      <c r="C36" s="9"/>
      <c r="D36" s="26"/>
      <c r="H36" s="38" t="s">
        <v>29</v>
      </c>
      <c r="I36" s="43">
        <f>IF(I35=0,0,ROUND(I31/I35,2))</f>
        <v>0.61</v>
      </c>
      <c r="J36" s="44"/>
    </row>
    <row r="37" spans="1:10" ht="16.5" customHeight="1" x14ac:dyDescent="0.15">
      <c r="A37" s="25"/>
      <c r="B37" s="9"/>
      <c r="C37" s="9"/>
      <c r="D37" s="26"/>
      <c r="I37" s="40"/>
      <c r="J37" s="44"/>
    </row>
    <row r="38" spans="1:10" ht="16.5" customHeight="1" x14ac:dyDescent="0.15">
      <c r="A38" s="25"/>
      <c r="B38" s="9"/>
      <c r="C38" s="9"/>
      <c r="D38" s="26"/>
      <c r="G38" s="38" t="s">
        <v>30</v>
      </c>
      <c r="H38" s="30"/>
      <c r="I38" s="39">
        <f>ROUND(I35*H38%,2)</f>
        <v>0</v>
      </c>
      <c r="J38" s="44"/>
    </row>
    <row r="39" spans="1:10" ht="16.5" customHeight="1" x14ac:dyDescent="0.15">
      <c r="A39" s="45"/>
      <c r="B39" s="46"/>
      <c r="C39" s="46"/>
      <c r="D39" s="47"/>
      <c r="H39" s="38" t="s">
        <v>31</v>
      </c>
      <c r="I39" s="48">
        <f>IF(I38=0,0,ROUND((I31/(I35-I38))-(I31/I35),4))</f>
        <v>0</v>
      </c>
    </row>
    <row r="40" spans="1:10" ht="6.75" customHeight="1" x14ac:dyDescent="0.15">
      <c r="I40" s="40"/>
    </row>
    <row r="41" spans="1:10" ht="14.25" customHeight="1" x14ac:dyDescent="0.15">
      <c r="A41" s="9" t="s">
        <v>32</v>
      </c>
      <c r="B41" s="9"/>
      <c r="C41" s="9"/>
      <c r="I41" s="40"/>
    </row>
    <row r="42" spans="1:10" ht="14.25" customHeight="1" x14ac:dyDescent="0.15">
      <c r="A42" s="9"/>
      <c r="B42" s="9"/>
      <c r="C42" s="9"/>
      <c r="I42" s="40"/>
    </row>
    <row r="43" spans="1:10" ht="14.25" customHeight="1" x14ac:dyDescent="0.15">
      <c r="A43" s="9"/>
      <c r="B43" s="9"/>
      <c r="C43" s="9"/>
      <c r="I43" s="40"/>
      <c r="J43" s="44"/>
    </row>
    <row r="44" spans="1:10" ht="14.25" customHeight="1" x14ac:dyDescent="0.15">
      <c r="A44" s="9"/>
      <c r="B44" s="9"/>
      <c r="C44" s="9"/>
      <c r="I44" s="40"/>
    </row>
    <row r="45" spans="1:10" ht="14.25" customHeight="1" x14ac:dyDescent="0.15">
      <c r="A45" s="9"/>
      <c r="B45" s="9"/>
      <c r="C45" s="9"/>
      <c r="I45" s="40"/>
    </row>
    <row r="46" spans="1:10" ht="14.25" customHeight="1" x14ac:dyDescent="0.15">
      <c r="A46" s="9"/>
      <c r="B46" s="9"/>
      <c r="C46" s="9"/>
      <c r="I46" s="40"/>
    </row>
    <row r="47" spans="1:10" ht="14.25" customHeight="1" x14ac:dyDescent="0.15">
      <c r="A47" s="9"/>
      <c r="B47" s="9"/>
      <c r="C47" s="9"/>
      <c r="I47" s="40"/>
    </row>
    <row r="48" spans="1:10" ht="14.25" customHeight="1" x14ac:dyDescent="0.15">
      <c r="A48" s="9"/>
      <c r="B48" s="9"/>
      <c r="C48" s="9"/>
      <c r="I48" s="40"/>
    </row>
    <row r="49" spans="1:9" ht="14.25" customHeight="1" x14ac:dyDescent="0.15">
      <c r="A49" s="9"/>
      <c r="B49" s="9"/>
      <c r="C49" s="9"/>
      <c r="I49" s="40"/>
    </row>
    <row r="50" spans="1:9" ht="14.25" customHeight="1" x14ac:dyDescent="0.15"/>
    <row r="51" spans="1:9" ht="14.25" customHeight="1" x14ac:dyDescent="0.15"/>
    <row r="52" spans="1:9" ht="14.25" customHeight="1" x14ac:dyDescent="0.15"/>
    <row r="53" spans="1:9" ht="14.25" customHeight="1" x14ac:dyDescent="0.15"/>
    <row r="54" spans="1:9" ht="14.25" customHeight="1" x14ac:dyDescent="0.15">
      <c r="G54" s="49"/>
      <c r="H54" s="49"/>
      <c r="I54" s="49"/>
    </row>
    <row r="55" spans="1:9" ht="14.25" customHeight="1" x14ac:dyDescent="0.15">
      <c r="A55" s="50"/>
      <c r="B55" s="51"/>
      <c r="C55" s="51"/>
      <c r="D55" s="51"/>
      <c r="G55" s="54"/>
      <c r="H55" s="54"/>
      <c r="I55" s="54"/>
    </row>
    <row r="61" spans="1:9" x14ac:dyDescent="0.15">
      <c r="A61" s="54"/>
      <c r="B61" s="54"/>
      <c r="C61" s="54"/>
      <c r="D61" s="54"/>
      <c r="E61" s="51"/>
    </row>
  </sheetData>
  <mergeCells count="11">
    <mergeCell ref="G55:I55"/>
    <mergeCell ref="A61:D61"/>
    <mergeCell ref="F1:I1"/>
    <mergeCell ref="H3:I3"/>
    <mergeCell ref="H5:I5"/>
    <mergeCell ref="C7:F7"/>
    <mergeCell ref="C9:F9"/>
    <mergeCell ref="A11:B11"/>
    <mergeCell ref="C11:C12"/>
    <mergeCell ref="D11:D12"/>
    <mergeCell ref="F11:H11"/>
  </mergeCells>
  <printOptions horizontalCentered="1"/>
  <pageMargins left="0.3" right="0.2" top="0.43307086614173201" bottom="0.1" header="0.196850393700787" footer="0.1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Coldcut Board</vt:lpstr>
      <vt:lpstr>'Coldcut 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Kittisak Kraiudom</cp:lastModifiedBy>
  <dcterms:created xsi:type="dcterms:W3CDTF">2025-01-20T05:51:03Z</dcterms:created>
  <dcterms:modified xsi:type="dcterms:W3CDTF">2026-03-28T15:27:24Z</dcterms:modified>
</cp:coreProperties>
</file>